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A:\Materials\Data Analytics\Data set\"/>
    </mc:Choice>
  </mc:AlternateContent>
  <xr:revisionPtr revIDLastSave="0" documentId="8_{5DF4CA38-1F9A-4BAF-9978-AFFCBB9D6164}" xr6:coauthVersionLast="47" xr6:coauthVersionMax="47" xr10:uidLastSave="{00000000-0000-0000-0000-000000000000}"/>
  <bookViews>
    <workbookView xWindow="7428" yWindow="0" windowWidth="15708" windowHeight="12336" xr2:uid="{00000000-000D-0000-FFFF-FFFF00000000}"/>
  </bookViews>
  <sheets>
    <sheet name="Dataset" sheetId="2" r:id="rId1"/>
  </sheets>
  <definedNames>
    <definedName name="_xlnm._FilterDatabase" localSheetId="0" hidden="1">Dataset!$A$1:$I$35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c r="K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2" i="2"/>
  <c r="M6" i="2"/>
  <c r="M7" i="2"/>
  <c r="M8" i="2"/>
  <c r="M9" i="2"/>
  <c r="M10" i="2"/>
  <c r="M13" i="2"/>
  <c r="M14" i="2"/>
  <c r="M15" i="2"/>
  <c r="M16" i="2"/>
  <c r="M17" i="2"/>
  <c r="M18" i="2"/>
  <c r="M21" i="2"/>
  <c r="M22" i="2"/>
  <c r="M23" i="2"/>
  <c r="M24" i="2"/>
  <c r="M25" i="2"/>
  <c r="M26" i="2"/>
  <c r="M29" i="2"/>
  <c r="M30" i="2"/>
  <c r="M31" i="2"/>
  <c r="M32" i="2"/>
  <c r="M33" i="2"/>
  <c r="M34"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E2" i="2" a="1"/>
  <c r="E2" i="2" s="1"/>
  <c r="M2" i="2" s="1"/>
  <c r="M5" i="2" l="1"/>
  <c r="M28" i="2"/>
  <c r="M20" i="2"/>
  <c r="M12" i="2"/>
  <c r="M4" i="2"/>
  <c r="M35" i="2"/>
  <c r="M27" i="2"/>
  <c r="M19" i="2"/>
  <c r="M11" i="2"/>
  <c r="M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<sst xmlns="http://schemas.openxmlformats.org/spreadsheetml/2006/main" count="173" uniqueCount="99">
  <si>
    <t>Product ID</t>
  </si>
  <si>
    <t>Product Name</t>
  </si>
  <si>
    <t>Brand Name</t>
  </si>
  <si>
    <t>Price ($)</t>
  </si>
  <si>
    <t>Quantity</t>
  </si>
  <si>
    <t>Category</t>
  </si>
  <si>
    <t>laptop</t>
  </si>
  <si>
    <t>Dell</t>
  </si>
  <si>
    <t>Electronics</t>
  </si>
  <si>
    <t>Sneakers</t>
  </si>
  <si>
    <t>Nike</t>
  </si>
  <si>
    <t>Fashion</t>
  </si>
  <si>
    <t>Coffee Maker</t>
  </si>
  <si>
    <t>Keurig</t>
  </si>
  <si>
    <t>Kitchen</t>
  </si>
  <si>
    <t>smartphone</t>
  </si>
  <si>
    <t>Samsung</t>
  </si>
  <si>
    <t>Backpack</t>
  </si>
  <si>
    <t>North Face</t>
  </si>
  <si>
    <t>Headphones</t>
  </si>
  <si>
    <t>Sony</t>
  </si>
  <si>
    <t>T-shirt</t>
  </si>
  <si>
    <t>Adidas</t>
  </si>
  <si>
    <t>Blender</t>
  </si>
  <si>
    <t>Ninja</t>
  </si>
  <si>
    <t>Tablet</t>
  </si>
  <si>
    <t>Apple</t>
  </si>
  <si>
    <t>Hiking Boots</t>
  </si>
  <si>
    <t>Timberland</t>
  </si>
  <si>
    <t>Outdoor</t>
  </si>
  <si>
    <t>Laptop</t>
  </si>
  <si>
    <t>HP</t>
  </si>
  <si>
    <t>Nespresso</t>
  </si>
  <si>
    <t>Smartwatch</t>
  </si>
  <si>
    <t>Fitbit</t>
  </si>
  <si>
    <t>headphones</t>
  </si>
  <si>
    <t>Bose</t>
  </si>
  <si>
    <t>Laptop Bag</t>
  </si>
  <si>
    <t>Samsonite</t>
  </si>
  <si>
    <t>Accessories</t>
  </si>
  <si>
    <t>Huawei</t>
  </si>
  <si>
    <t>Asus</t>
  </si>
  <si>
    <t>Sunglasses</t>
  </si>
  <si>
    <t>Oakley</t>
  </si>
  <si>
    <t>Camping Tent</t>
  </si>
  <si>
    <t>Coleman</t>
  </si>
  <si>
    <t>Camera</t>
  </si>
  <si>
    <t>Nikon</t>
  </si>
  <si>
    <t>Microwave</t>
  </si>
  <si>
    <t>Panasonic</t>
  </si>
  <si>
    <t>Fitness Tracker</t>
  </si>
  <si>
    <t>Xiaomi</t>
  </si>
  <si>
    <t>Smartphone</t>
  </si>
  <si>
    <t>Google</t>
  </si>
  <si>
    <t>Ray-Ban</t>
  </si>
  <si>
    <t>Vitamix</t>
  </si>
  <si>
    <t>Dress</t>
  </si>
  <si>
    <t>Zara</t>
  </si>
  <si>
    <t>Toaster</t>
  </si>
  <si>
    <t>Hamilton</t>
  </si>
  <si>
    <t>Garmin</t>
  </si>
  <si>
    <t>Jeans</t>
  </si>
  <si>
    <t>Levi's</t>
  </si>
  <si>
    <t>Watch</t>
  </si>
  <si>
    <t>Casio</t>
  </si>
  <si>
    <t>The Category column contains a few missing values. Instead of deleting these records, the missing categories should be imputed (filled) based on the information available in the Product Name and similar products in the dataset. This approach preserves all records and improves the quality of the dataset for analysis.</t>
  </si>
  <si>
    <t xml:space="preserve">Electroni is replace by Electronics using Ctrl + H </t>
  </si>
  <si>
    <t>Duplicates are removed using remove duplicate icon from Data bar</t>
  </si>
  <si>
    <t>Country Code</t>
  </si>
  <si>
    <t>JAN</t>
  </si>
  <si>
    <t>US</t>
  </si>
  <si>
    <t>FEB</t>
  </si>
  <si>
    <t>MAR</t>
  </si>
  <si>
    <t>APR</t>
  </si>
  <si>
    <t>MAY</t>
  </si>
  <si>
    <t>JUN</t>
  </si>
  <si>
    <t>UK</t>
  </si>
  <si>
    <t>JUL</t>
  </si>
  <si>
    <t>AUG</t>
  </si>
  <si>
    <t>SEP</t>
  </si>
  <si>
    <t>OCT</t>
  </si>
  <si>
    <t>IN</t>
  </si>
  <si>
    <t>NOV</t>
  </si>
  <si>
    <t>AU</t>
  </si>
  <si>
    <t>DEC</t>
  </si>
  <si>
    <t>DE</t>
  </si>
  <si>
    <t>CA</t>
  </si>
  <si>
    <t>ES</t>
  </si>
  <si>
    <t>CN</t>
  </si>
  <si>
    <t>IT</t>
  </si>
  <si>
    <t>RU</t>
  </si>
  <si>
    <t>BR</t>
  </si>
  <si>
    <t>FR</t>
  </si>
  <si>
    <t>Manufacturing Date</t>
  </si>
  <si>
    <t>Brand name &amp; Product Name</t>
  </si>
  <si>
    <t>Date Format</t>
  </si>
  <si>
    <t>Month</t>
  </si>
  <si>
    <t>Country</t>
  </si>
  <si>
    <t>Product ID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</si>
</sst>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quot;₹&quot;\ #,##0"/>
  </numFmts>
  <fonts count="12">
    <font>
      <sz val="10"/>
      <color rgb="FF000000"/>
      <name val="Arial"/>
      <charset val="134"/>
      <scheme val="minor"/>
    </font>
    <font>
      <b/>
      <sz val="10"/>
      <color theme="1"/>
      <name val="Arial"/>
      <charset val="134"/>
    </font>
    <font>
      <sz val="10"/>
      <color theme="1"/>
      <name val="Arial"/>
      <charset val="134"/>
    </font>
    <font>
      <b/>
      <sz val="12"/>
      <color theme="1"/>
      <name val="Times New Roman"/>
      <charset val="134"/>
    </font>
    <font>
      <sz val="12"/>
      <color theme="1"/>
      <name val="Times New Roman"/>
      <charset val="134"/>
    </font>
    <font>
      <sz val="10"/>
      <color theme="1"/>
      <name val="Arial"/>
      <family val="2"/>
    </font>
    <font>
      <b/>
      <sz val="10"/>
      <color theme="1"/>
      <name val="Arial"/>
      <family val="2"/>
    </font>
    <font>
      <sz val="8"/>
      <name val="Arial"/>
      <family val="2"/>
      <scheme val="minor"/>
    </font>
    <font>
      <b/>
      <sz val="10"/>
      <color rgb="FF000000"/>
      <name val="Arial"/>
      <family val="2"/>
      <scheme val="minor"/>
    </font>
    <font>
      <sz val="10"/>
      <color theme="1"/>
      <name val="Times New Roman"/>
      <family val="1"/>
    </font>
    <font>
      <b/>
      <sz val="10"/>
      <color rgb="FF000000"/>
      <name val="Arial Rounded MT Bold"/>
      <family val="2"/>
    </font>
    <font>
      <sz val="10"/>
      <color rgb="FF000000"/>
      <name val="Arial Rounded MT Bold"/>
      <family val="2"/>
    </font>
  </fonts>
  <fills count="13">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4"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rgb="FF4DD0E1"/>
      </patternFill>
    </fill>
    <fill>
      <patternFill patternType="solid">
        <fgColor theme="4" tint="0.39997558519241921"/>
        <bgColor indexed="64"/>
      </patternFill>
    </fill>
    <fill>
      <patternFill patternType="solid">
        <fgColor theme="4" tint="0.59999389629810485"/>
        <bgColor rgb="FFE0F7FA"/>
      </patternFill>
    </fill>
    <fill>
      <patternFill patternType="solid">
        <fgColor theme="2" tint="-0.14999847407452621"/>
        <bgColor indexed="64"/>
      </patternFill>
    </fill>
    <fill>
      <patternFill patternType="solid">
        <fgColor theme="4"/>
        <bgColor rgb="FF4DD0E1"/>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43">
    <xf numFmtId="0" fontId="0" fillId="0" borderId="0" xfId="0"/>
    <xf numFmtId="0" fontId="8" fillId="9" borderId="0" xfId="0" applyFont="1" applyFill="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1" fillId="0" borderId="0" xfId="0" applyFont="1" applyFill="1" applyAlignment="1">
      <alignment horizontal="center" vertical="center"/>
    </xf>
    <xf numFmtId="0" fontId="5" fillId="0" borderId="0" xfId="0" applyFont="1" applyFill="1" applyAlignment="1">
      <alignment horizontal="center" vertical="center"/>
    </xf>
    <xf numFmtId="0" fontId="0" fillId="0" borderId="0" xfId="0" applyFill="1" applyAlignment="1">
      <alignment horizontal="center" vertical="center"/>
    </xf>
    <xf numFmtId="169" fontId="0" fillId="0" borderId="0" xfId="0" applyNumberFormat="1" applyAlignment="1">
      <alignment horizontal="center" vertical="center"/>
    </xf>
    <xf numFmtId="0" fontId="2" fillId="4"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8"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0" fillId="0" borderId="0" xfId="0" applyBorder="1" applyAlignment="1">
      <alignment horizontal="center" vertical="center"/>
    </xf>
    <xf numFmtId="0" fontId="2" fillId="0" borderId="0"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Fill="1" applyBorder="1" applyAlignment="1">
      <alignment horizontal="center" vertical="center"/>
    </xf>
    <xf numFmtId="169" fontId="2" fillId="0" borderId="1" xfId="0" applyNumberFormat="1" applyFont="1" applyFill="1" applyBorder="1" applyAlignment="1">
      <alignment horizontal="center" vertical="center"/>
    </xf>
    <xf numFmtId="0" fontId="9" fillId="7"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9" borderId="1" xfId="0" applyFont="1" applyFill="1" applyBorder="1" applyAlignment="1">
      <alignment horizontal="center" vertical="center" wrapText="1"/>
    </xf>
    <xf numFmtId="14" fontId="11" fillId="0" borderId="1" xfId="0" applyNumberFormat="1" applyFont="1" applyBorder="1" applyAlignment="1">
      <alignment horizontal="center" vertical="center"/>
    </xf>
    <xf numFmtId="14" fontId="11" fillId="0" borderId="0" xfId="0" applyNumberFormat="1" applyFont="1" applyAlignment="1">
      <alignment horizontal="center" vertical="center"/>
    </xf>
    <xf numFmtId="0" fontId="11" fillId="0" borderId="0" xfId="0" applyFont="1" applyAlignment="1">
      <alignment horizontal="center" vertical="center"/>
    </xf>
    <xf numFmtId="0" fontId="6" fillId="12" borderId="1" xfId="0" applyFont="1" applyFill="1" applyBorder="1" applyAlignment="1">
      <alignment horizontal="center" vertical="center"/>
    </xf>
    <xf numFmtId="0" fontId="0" fillId="0" borderId="0" xfId="0"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169" fontId="1" fillId="2" borderId="1" xfId="0" applyNumberFormat="1" applyFont="1" applyFill="1" applyBorder="1" applyAlignment="1">
      <alignment horizontal="center" vertical="center"/>
    </xf>
    <xf numFmtId="169"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169" fontId="2"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0" fontId="6" fillId="8" borderId="1" xfId="0" applyFont="1" applyFill="1" applyBorder="1" applyAlignment="1">
      <alignment horizontal="center" vertical="center" wrapText="1"/>
    </xf>
  </cellXfs>
  <cellStyles count="1">
    <cellStyle name="Normal" xfId="0" builtinId="0"/>
  </cellStyles>
  <dxfs count="20">
    <dxf>
      <fill>
        <patternFill>
          <bgColor rgb="FFFFC7CE"/>
        </patternFill>
      </fill>
    </dxf>
    <dxf>
      <fill>
        <patternFill>
          <bgColor rgb="FFFFC7CE"/>
        </patternFill>
      </fill>
    </dxf>
    <dxf>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267968C8-6FFD-4C36-ACC1-9EA1FD1885CA}">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topLeftCell="M1" workbookViewId="0">
      <selection activeCell="O2" sqref="O2"/>
    </sheetView>
  </sheetViews>
  <sheetFormatPr defaultColWidth="12.6640625" defaultRowHeight="15" customHeight="1"/>
  <cols>
    <col min="1" max="1" width="12.5546875" style="3" bestFit="1" customWidth="1"/>
    <col min="2" max="2" width="8.6640625" style="3" bestFit="1" customWidth="1"/>
    <col min="3" max="3" width="10.33203125" style="3" bestFit="1" customWidth="1"/>
    <col min="4" max="4" width="15.77734375" style="3" bestFit="1" customWidth="1"/>
    <col min="5" max="5" width="15.77734375" style="33" bestFit="1" customWidth="1"/>
    <col min="6" max="6" width="14" style="3" bestFit="1" customWidth="1"/>
    <col min="7" max="7" width="10.5546875" style="10" bestFit="1" customWidth="1"/>
    <col min="8" max="8" width="10.6640625" style="3" bestFit="1" customWidth="1"/>
    <col min="9" max="9" width="13.44140625" style="3" bestFit="1" customWidth="1"/>
    <col min="10" max="10" width="12.6640625" style="9" customWidth="1"/>
    <col min="11" max="11" width="13.5546875" style="3" bestFit="1" customWidth="1"/>
    <col min="12" max="12" width="8.109375" style="3" bestFit="1" customWidth="1"/>
    <col min="13" max="13" width="28.6640625" style="20" customWidth="1"/>
    <col min="14" max="14" width="16" style="31" customWidth="1"/>
    <col min="15" max="15" width="76.21875" style="9" bestFit="1" customWidth="1"/>
    <col min="16" max="16384" width="12.6640625" style="3"/>
  </cols>
  <sheetData>
    <row r="1" spans="1:23" ht="36" customHeight="1">
      <c r="A1" s="34" t="s">
        <v>98</v>
      </c>
      <c r="B1" s="35" t="s">
        <v>96</v>
      </c>
      <c r="C1" s="35" t="s">
        <v>97</v>
      </c>
      <c r="D1" s="22" t="s">
        <v>1</v>
      </c>
      <c r="E1" s="32" t="s">
        <v>1</v>
      </c>
      <c r="F1" s="22" t="s">
        <v>2</v>
      </c>
      <c r="G1" s="36" t="s">
        <v>3</v>
      </c>
      <c r="H1" s="22" t="s">
        <v>4</v>
      </c>
      <c r="I1" s="22" t="s">
        <v>5</v>
      </c>
      <c r="J1" s="7"/>
      <c r="K1" s="42" t="s">
        <v>93</v>
      </c>
      <c r="L1" s="1" t="s">
        <v>68</v>
      </c>
      <c r="M1" s="16" t="s">
        <v>94</v>
      </c>
      <c r="N1" s="28" t="s">
        <v>95</v>
      </c>
      <c r="O1" s="22" t="s">
        <v>3</v>
      </c>
    </row>
    <row r="2" spans="1:23" ht="15.75" customHeight="1">
      <c r="A2" s="17">
        <v>28</v>
      </c>
      <c r="B2" s="14" t="s">
        <v>69</v>
      </c>
      <c r="C2" s="14" t="s">
        <v>70</v>
      </c>
      <c r="D2" s="14" t="s">
        <v>6</v>
      </c>
      <c r="E2" s="11" t="str" cm="1">
        <f t="array" ref="E2:E35">PROPER(D2:D35)</f>
        <v>Laptop</v>
      </c>
      <c r="F2" s="14" t="s">
        <v>7</v>
      </c>
      <c r="G2" s="37">
        <v>1000</v>
      </c>
      <c r="H2" s="14">
        <v>30</v>
      </c>
      <c r="I2" s="14" t="s">
        <v>8</v>
      </c>
      <c r="J2" s="4"/>
      <c r="K2" s="13">
        <f>A2</f>
        <v>28</v>
      </c>
      <c r="L2" s="15" t="str">
        <f>C2</f>
        <v>US</v>
      </c>
      <c r="M2" s="18" t="str">
        <f>F2&amp;" "&amp;E2</f>
        <v>Dell Laptop</v>
      </c>
      <c r="N2" s="29">
        <f>DATE(2026,MONTH((B2&amp;" 1")),A2)</f>
        <v>46050</v>
      </c>
      <c r="O2" s="24">
        <f>AVERAGE(G2:G35)</f>
        <v>297.96482159032263</v>
      </c>
    </row>
    <row r="3" spans="1:23" ht="15.75" customHeight="1">
      <c r="A3" s="38">
        <v>15</v>
      </c>
      <c r="B3" s="38" t="s">
        <v>71</v>
      </c>
      <c r="C3" s="38" t="s">
        <v>70</v>
      </c>
      <c r="D3" s="38" t="s">
        <v>9</v>
      </c>
      <c r="E3" s="12" t="str">
        <v>Sneakers</v>
      </c>
      <c r="F3" s="38" t="s">
        <v>10</v>
      </c>
      <c r="G3" s="39">
        <v>80</v>
      </c>
      <c r="H3" s="38">
        <v>15</v>
      </c>
      <c r="I3" s="38" t="s">
        <v>11</v>
      </c>
      <c r="J3" s="4"/>
      <c r="K3" s="13">
        <f t="shared" ref="K3:K32" si="0">A3</f>
        <v>15</v>
      </c>
      <c r="L3" s="15" t="str">
        <f t="shared" ref="L3:L32" si="1">C3</f>
        <v>US</v>
      </c>
      <c r="M3" s="18" t="str">
        <f t="shared" ref="M3:M35" si="2">F3&amp;" "&amp;E3</f>
        <v>Nike Sneakers</v>
      </c>
      <c r="N3" s="29">
        <f t="shared" ref="N3:N35" si="3">DATE(2026,MONTH((B3&amp;" 1")),A3)</f>
        <v>46068</v>
      </c>
      <c r="O3" s="23"/>
      <c r="P3" s="5"/>
      <c r="Q3" s="2"/>
      <c r="R3" s="2"/>
      <c r="S3" s="2"/>
      <c r="T3" s="2"/>
      <c r="U3" s="2"/>
      <c r="V3" s="2"/>
      <c r="W3" s="2"/>
    </row>
    <row r="4" spans="1:23" ht="52.8" customHeight="1">
      <c r="A4" s="14">
        <v>3</v>
      </c>
      <c r="B4" s="14" t="s">
        <v>72</v>
      </c>
      <c r="C4" s="14" t="s">
        <v>70</v>
      </c>
      <c r="D4" s="14" t="s">
        <v>12</v>
      </c>
      <c r="E4" s="11" t="str">
        <v>Coffee Maker</v>
      </c>
      <c r="F4" s="14" t="s">
        <v>13</v>
      </c>
      <c r="G4" s="37">
        <v>130</v>
      </c>
      <c r="H4" s="14">
        <v>40</v>
      </c>
      <c r="I4" s="14" t="s">
        <v>14</v>
      </c>
      <c r="J4" s="4"/>
      <c r="K4" s="13">
        <f t="shared" si="0"/>
        <v>3</v>
      </c>
      <c r="L4" s="15" t="str">
        <f t="shared" si="1"/>
        <v>US</v>
      </c>
      <c r="M4" s="18" t="str">
        <f t="shared" si="2"/>
        <v>Keurig Coffee Maker</v>
      </c>
      <c r="N4" s="29">
        <f t="shared" si="3"/>
        <v>46084</v>
      </c>
      <c r="O4" s="25" t="s">
        <v>65</v>
      </c>
      <c r="P4" s="2"/>
      <c r="Q4" s="6"/>
      <c r="R4" s="2"/>
      <c r="S4" s="2"/>
      <c r="T4" s="2"/>
      <c r="U4" s="2"/>
      <c r="V4" s="2"/>
      <c r="W4" s="2"/>
    </row>
    <row r="5" spans="1:23" ht="15.75" customHeight="1">
      <c r="A5" s="38">
        <v>11</v>
      </c>
      <c r="B5" s="38" t="s">
        <v>73</v>
      </c>
      <c r="C5" s="38" t="s">
        <v>70</v>
      </c>
      <c r="D5" s="38" t="s">
        <v>15</v>
      </c>
      <c r="E5" s="12" t="str">
        <v>Smartphone</v>
      </c>
      <c r="F5" s="38" t="s">
        <v>16</v>
      </c>
      <c r="G5" s="39">
        <v>900</v>
      </c>
      <c r="H5" s="38">
        <v>25</v>
      </c>
      <c r="I5" s="40" t="s">
        <v>8</v>
      </c>
      <c r="J5" s="8"/>
      <c r="K5" s="13">
        <f t="shared" si="0"/>
        <v>11</v>
      </c>
      <c r="L5" s="15" t="str">
        <f t="shared" si="1"/>
        <v>US</v>
      </c>
      <c r="M5" s="18" t="str">
        <f t="shared" si="2"/>
        <v>Samsung Smartphone</v>
      </c>
      <c r="N5" s="29">
        <f t="shared" si="3"/>
        <v>46123</v>
      </c>
      <c r="O5" s="23"/>
      <c r="P5" s="2"/>
      <c r="Q5" s="6"/>
      <c r="R5" s="2"/>
      <c r="S5" s="2"/>
      <c r="T5" s="2"/>
      <c r="U5" s="2"/>
      <c r="V5" s="2"/>
      <c r="W5" s="2"/>
    </row>
    <row r="6" spans="1:23" ht="15.75" customHeight="1">
      <c r="A6" s="14">
        <v>22</v>
      </c>
      <c r="B6" s="14" t="s">
        <v>74</v>
      </c>
      <c r="C6" s="14" t="s">
        <v>70</v>
      </c>
      <c r="D6" s="14" t="s">
        <v>17</v>
      </c>
      <c r="E6" s="11" t="str">
        <v>Backpack</v>
      </c>
      <c r="F6" s="14" t="s">
        <v>18</v>
      </c>
      <c r="G6" s="37">
        <v>70</v>
      </c>
      <c r="H6" s="14">
        <v>20</v>
      </c>
      <c r="I6" s="41" t="s">
        <v>39</v>
      </c>
      <c r="J6" s="8"/>
      <c r="K6" s="13">
        <f t="shared" si="0"/>
        <v>22</v>
      </c>
      <c r="L6" s="15" t="str">
        <f t="shared" si="1"/>
        <v>US</v>
      </c>
      <c r="M6" s="18" t="str">
        <f t="shared" si="2"/>
        <v>North Face Backpack</v>
      </c>
      <c r="N6" s="29">
        <f t="shared" si="3"/>
        <v>46164</v>
      </c>
      <c r="O6" s="26" t="s">
        <v>66</v>
      </c>
    </row>
    <row r="7" spans="1:23" ht="15.75" customHeight="1">
      <c r="A7" s="38">
        <v>7</v>
      </c>
      <c r="B7" s="38" t="s">
        <v>75</v>
      </c>
      <c r="C7" s="38" t="s">
        <v>76</v>
      </c>
      <c r="D7" s="38" t="s">
        <v>19</v>
      </c>
      <c r="E7" s="12" t="str">
        <v>Headphones</v>
      </c>
      <c r="F7" s="38" t="s">
        <v>20</v>
      </c>
      <c r="G7" s="24">
        <v>298.96982309999999</v>
      </c>
      <c r="H7" s="38">
        <v>45</v>
      </c>
      <c r="I7" s="38" t="s">
        <v>8</v>
      </c>
      <c r="J7" s="4"/>
      <c r="K7" s="13">
        <f t="shared" si="0"/>
        <v>7</v>
      </c>
      <c r="L7" s="15" t="str">
        <f t="shared" si="1"/>
        <v>UK</v>
      </c>
      <c r="M7" s="18" t="str">
        <f t="shared" si="2"/>
        <v>Sony Headphones</v>
      </c>
      <c r="N7" s="29">
        <f t="shared" si="3"/>
        <v>46180</v>
      </c>
      <c r="O7" s="23"/>
    </row>
    <row r="8" spans="1:23" ht="15.75" customHeight="1">
      <c r="A8" s="14">
        <v>19</v>
      </c>
      <c r="B8" s="14" t="s">
        <v>77</v>
      </c>
      <c r="C8" s="14" t="s">
        <v>76</v>
      </c>
      <c r="D8" s="14" t="s">
        <v>21</v>
      </c>
      <c r="E8" s="11" t="str">
        <v>T-Shirt</v>
      </c>
      <c r="F8" s="14" t="s">
        <v>22</v>
      </c>
      <c r="G8" s="37">
        <v>30</v>
      </c>
      <c r="H8" s="14">
        <v>5</v>
      </c>
      <c r="I8" s="14" t="s">
        <v>11</v>
      </c>
      <c r="J8" s="4"/>
      <c r="K8" s="13">
        <f t="shared" si="0"/>
        <v>19</v>
      </c>
      <c r="L8" s="15" t="str">
        <f t="shared" si="1"/>
        <v>UK</v>
      </c>
      <c r="M8" s="18" t="str">
        <f t="shared" si="2"/>
        <v>Adidas T-Shirt</v>
      </c>
      <c r="N8" s="29">
        <f t="shared" si="3"/>
        <v>46222</v>
      </c>
      <c r="O8" s="27" t="s">
        <v>67</v>
      </c>
    </row>
    <row r="9" spans="1:23" ht="15.75" customHeight="1">
      <c r="A9" s="38">
        <v>23</v>
      </c>
      <c r="B9" s="38" t="s">
        <v>78</v>
      </c>
      <c r="C9" s="38" t="s">
        <v>76</v>
      </c>
      <c r="D9" s="38" t="s">
        <v>23</v>
      </c>
      <c r="E9" s="12" t="str">
        <v>Blender</v>
      </c>
      <c r="F9" s="38" t="s">
        <v>24</v>
      </c>
      <c r="G9" s="39">
        <v>90</v>
      </c>
      <c r="H9" s="38">
        <v>35</v>
      </c>
      <c r="I9" s="38" t="s">
        <v>14</v>
      </c>
      <c r="J9" s="4"/>
      <c r="K9" s="13">
        <f t="shared" si="0"/>
        <v>23</v>
      </c>
      <c r="L9" s="15" t="str">
        <f t="shared" si="1"/>
        <v>UK</v>
      </c>
      <c r="M9" s="18" t="str">
        <f t="shared" si="2"/>
        <v>Ninja Blender</v>
      </c>
      <c r="N9" s="29">
        <f t="shared" si="3"/>
        <v>46257</v>
      </c>
      <c r="O9" s="4"/>
    </row>
    <row r="10" spans="1:23" ht="15.75" customHeight="1">
      <c r="A10" s="14">
        <v>5</v>
      </c>
      <c r="B10" s="14" t="s">
        <v>79</v>
      </c>
      <c r="C10" s="14" t="s">
        <v>76</v>
      </c>
      <c r="D10" s="14" t="s">
        <v>25</v>
      </c>
      <c r="E10" s="11" t="str">
        <v>Tablet</v>
      </c>
      <c r="F10" s="14" t="s">
        <v>26</v>
      </c>
      <c r="G10" s="37">
        <v>500</v>
      </c>
      <c r="H10" s="14">
        <v>50</v>
      </c>
      <c r="I10" s="41" t="s">
        <v>8</v>
      </c>
      <c r="J10" s="8"/>
      <c r="K10" s="13">
        <f t="shared" si="0"/>
        <v>5</v>
      </c>
      <c r="L10" s="15" t="str">
        <f t="shared" si="1"/>
        <v>UK</v>
      </c>
      <c r="M10" s="18" t="str">
        <f t="shared" si="2"/>
        <v>Apple Tablet</v>
      </c>
      <c r="N10" s="29">
        <f t="shared" si="3"/>
        <v>46270</v>
      </c>
      <c r="O10" s="4"/>
    </row>
    <row r="11" spans="1:23" ht="15.75" customHeight="1">
      <c r="A11" s="38">
        <v>14</v>
      </c>
      <c r="B11" s="38" t="s">
        <v>80</v>
      </c>
      <c r="C11" s="38" t="s">
        <v>76</v>
      </c>
      <c r="D11" s="38" t="s">
        <v>27</v>
      </c>
      <c r="E11" s="12" t="str">
        <v>Hiking Boots</v>
      </c>
      <c r="F11" s="38" t="s">
        <v>28</v>
      </c>
      <c r="G11" s="39">
        <v>130</v>
      </c>
      <c r="H11" s="38">
        <v>10</v>
      </c>
      <c r="I11" s="38" t="s">
        <v>29</v>
      </c>
      <c r="J11" s="4"/>
      <c r="K11" s="13">
        <f t="shared" si="0"/>
        <v>14</v>
      </c>
      <c r="L11" s="15" t="str">
        <f t="shared" si="1"/>
        <v>UK</v>
      </c>
      <c r="M11" s="18" t="str">
        <f t="shared" si="2"/>
        <v>Timberland Hiking Boots</v>
      </c>
      <c r="N11" s="29">
        <f t="shared" si="3"/>
        <v>46309</v>
      </c>
    </row>
    <row r="12" spans="1:23" ht="15.75" customHeight="1">
      <c r="A12" s="14">
        <v>17</v>
      </c>
      <c r="B12" s="14" t="s">
        <v>75</v>
      </c>
      <c r="C12" s="14" t="s">
        <v>81</v>
      </c>
      <c r="D12" s="14" t="s">
        <v>30</v>
      </c>
      <c r="E12" s="11" t="str">
        <v>Laptop</v>
      </c>
      <c r="F12" s="14" t="s">
        <v>31</v>
      </c>
      <c r="G12" s="37">
        <v>950</v>
      </c>
      <c r="H12" s="14">
        <v>25</v>
      </c>
      <c r="I12" s="14" t="s">
        <v>8</v>
      </c>
      <c r="J12" s="4"/>
      <c r="K12" s="13">
        <f t="shared" si="0"/>
        <v>17</v>
      </c>
      <c r="L12" s="15" t="str">
        <f t="shared" si="1"/>
        <v>IN</v>
      </c>
      <c r="M12" s="18" t="str">
        <f t="shared" si="2"/>
        <v>HP Laptop</v>
      </c>
      <c r="N12" s="29">
        <f t="shared" si="3"/>
        <v>46190</v>
      </c>
      <c r="O12" s="4"/>
    </row>
    <row r="13" spans="1:23" ht="15.75" customHeight="1">
      <c r="A13" s="38">
        <v>25</v>
      </c>
      <c r="B13" s="38" t="s">
        <v>82</v>
      </c>
      <c r="C13" s="38" t="s">
        <v>83</v>
      </c>
      <c r="D13" s="38" t="s">
        <v>9</v>
      </c>
      <c r="E13" s="12" t="str">
        <v>Sneakers</v>
      </c>
      <c r="F13" s="38" t="s">
        <v>22</v>
      </c>
      <c r="G13" s="39">
        <v>90</v>
      </c>
      <c r="H13" s="38">
        <v>40</v>
      </c>
      <c r="I13" s="40" t="s">
        <v>11</v>
      </c>
      <c r="J13" s="8"/>
      <c r="K13" s="13">
        <f t="shared" si="0"/>
        <v>25</v>
      </c>
      <c r="L13" s="15" t="str">
        <f t="shared" si="1"/>
        <v>AU</v>
      </c>
      <c r="M13" s="18" t="str">
        <f t="shared" si="2"/>
        <v>Adidas Sneakers</v>
      </c>
      <c r="N13" s="29">
        <f t="shared" si="3"/>
        <v>46351</v>
      </c>
      <c r="O13" s="4"/>
    </row>
    <row r="14" spans="1:23" ht="15.75" customHeight="1">
      <c r="A14" s="14">
        <v>8</v>
      </c>
      <c r="B14" s="14" t="s">
        <v>84</v>
      </c>
      <c r="C14" s="14" t="s">
        <v>85</v>
      </c>
      <c r="D14" s="14" t="s">
        <v>12</v>
      </c>
      <c r="E14" s="11" t="str">
        <v>Coffee Maker</v>
      </c>
      <c r="F14" s="14" t="s">
        <v>32</v>
      </c>
      <c r="G14" s="37">
        <v>120</v>
      </c>
      <c r="H14" s="14">
        <v>35</v>
      </c>
      <c r="I14" s="41" t="s">
        <v>14</v>
      </c>
      <c r="J14" s="8"/>
      <c r="K14" s="13">
        <f t="shared" si="0"/>
        <v>8</v>
      </c>
      <c r="L14" s="15" t="str">
        <f t="shared" si="1"/>
        <v>DE</v>
      </c>
      <c r="M14" s="18" t="str">
        <f t="shared" si="2"/>
        <v>Nespresso Coffee Maker</v>
      </c>
      <c r="N14" s="29">
        <f t="shared" si="3"/>
        <v>46364</v>
      </c>
      <c r="O14" s="4"/>
    </row>
    <row r="15" spans="1:23" ht="15.75" customHeight="1">
      <c r="A15" s="38">
        <v>18</v>
      </c>
      <c r="B15" s="38" t="s">
        <v>71</v>
      </c>
      <c r="C15" s="38" t="s">
        <v>86</v>
      </c>
      <c r="D15" s="38" t="s">
        <v>33</v>
      </c>
      <c r="E15" s="12" t="str">
        <v>Smartwatch</v>
      </c>
      <c r="F15" s="38" t="s">
        <v>34</v>
      </c>
      <c r="G15" s="39">
        <v>150</v>
      </c>
      <c r="H15" s="38">
        <v>15</v>
      </c>
      <c r="I15" s="38" t="s">
        <v>8</v>
      </c>
      <c r="J15" s="4"/>
      <c r="K15" s="13">
        <f t="shared" si="0"/>
        <v>18</v>
      </c>
      <c r="L15" s="15" t="str">
        <f t="shared" si="1"/>
        <v>CA</v>
      </c>
      <c r="M15" s="18" t="str">
        <f t="shared" si="2"/>
        <v>Fitbit Smartwatch</v>
      </c>
      <c r="N15" s="29">
        <f t="shared" si="3"/>
        <v>46071</v>
      </c>
      <c r="O15" s="4"/>
    </row>
    <row r="16" spans="1:23" ht="15.75" customHeight="1">
      <c r="A16" s="14">
        <v>16</v>
      </c>
      <c r="B16" s="14" t="s">
        <v>73</v>
      </c>
      <c r="C16" s="14" t="s">
        <v>87</v>
      </c>
      <c r="D16" s="14" t="s">
        <v>35</v>
      </c>
      <c r="E16" s="11" t="str">
        <v>Headphones</v>
      </c>
      <c r="F16" s="14" t="s">
        <v>36</v>
      </c>
      <c r="G16" s="37">
        <v>250</v>
      </c>
      <c r="H16" s="14">
        <v>20</v>
      </c>
      <c r="I16" s="14" t="s">
        <v>8</v>
      </c>
      <c r="J16" s="4"/>
      <c r="K16" s="13">
        <f t="shared" si="0"/>
        <v>16</v>
      </c>
      <c r="L16" s="15" t="str">
        <f t="shared" si="1"/>
        <v>ES</v>
      </c>
      <c r="M16" s="18" t="str">
        <f t="shared" si="2"/>
        <v>Bose Headphones</v>
      </c>
      <c r="N16" s="29">
        <f t="shared" si="3"/>
        <v>46128</v>
      </c>
      <c r="O16" s="4"/>
    </row>
    <row r="17" spans="1:15" ht="15.75" customHeight="1">
      <c r="A17" s="38">
        <v>21</v>
      </c>
      <c r="B17" s="38" t="s">
        <v>78</v>
      </c>
      <c r="C17" s="38" t="s">
        <v>86</v>
      </c>
      <c r="D17" s="38" t="s">
        <v>37</v>
      </c>
      <c r="E17" s="12" t="str">
        <v>Laptop Bag</v>
      </c>
      <c r="F17" s="38" t="s">
        <v>38</v>
      </c>
      <c r="G17" s="39">
        <v>50</v>
      </c>
      <c r="H17" s="38">
        <v>35</v>
      </c>
      <c r="I17" s="38" t="s">
        <v>39</v>
      </c>
      <c r="J17" s="4"/>
      <c r="K17" s="13">
        <f t="shared" si="0"/>
        <v>21</v>
      </c>
      <c r="L17" s="15" t="str">
        <f t="shared" si="1"/>
        <v>CA</v>
      </c>
      <c r="M17" s="18" t="str">
        <f t="shared" si="2"/>
        <v>Samsonite Laptop Bag</v>
      </c>
      <c r="N17" s="29">
        <f t="shared" si="3"/>
        <v>46255</v>
      </c>
      <c r="O17" s="4"/>
    </row>
    <row r="18" spans="1:15" ht="15.75" customHeight="1">
      <c r="A18" s="14">
        <v>20</v>
      </c>
      <c r="B18" s="14" t="s">
        <v>78</v>
      </c>
      <c r="C18" s="14" t="s">
        <v>88</v>
      </c>
      <c r="D18" s="14" t="s">
        <v>33</v>
      </c>
      <c r="E18" s="11" t="str">
        <v>Smartwatch</v>
      </c>
      <c r="F18" s="14" t="s">
        <v>40</v>
      </c>
      <c r="G18" s="37">
        <v>160</v>
      </c>
      <c r="H18" s="14">
        <v>15</v>
      </c>
      <c r="I18" s="14" t="s">
        <v>8</v>
      </c>
      <c r="J18" s="4"/>
      <c r="K18" s="13">
        <f t="shared" si="0"/>
        <v>20</v>
      </c>
      <c r="L18" s="15" t="str">
        <f t="shared" si="1"/>
        <v>CN</v>
      </c>
      <c r="M18" s="18" t="str">
        <f t="shared" si="2"/>
        <v>Huawei Smartwatch</v>
      </c>
      <c r="N18" s="29">
        <f t="shared" si="3"/>
        <v>46254</v>
      </c>
      <c r="O18" s="4"/>
    </row>
    <row r="19" spans="1:15" ht="15.75" customHeight="1">
      <c r="A19" s="38">
        <v>27</v>
      </c>
      <c r="B19" s="38" t="s">
        <v>69</v>
      </c>
      <c r="C19" s="38" t="s">
        <v>89</v>
      </c>
      <c r="D19" s="38" t="s">
        <v>6</v>
      </c>
      <c r="E19" s="12" t="str">
        <v>Laptop</v>
      </c>
      <c r="F19" s="38" t="s">
        <v>41</v>
      </c>
      <c r="G19" s="39">
        <v>980</v>
      </c>
      <c r="H19" s="38">
        <v>10</v>
      </c>
      <c r="I19" s="38" t="s">
        <v>8</v>
      </c>
      <c r="J19" s="4"/>
      <c r="K19" s="13">
        <f t="shared" si="0"/>
        <v>27</v>
      </c>
      <c r="L19" s="15" t="str">
        <f t="shared" si="1"/>
        <v>IT</v>
      </c>
      <c r="M19" s="18" t="str">
        <f t="shared" si="2"/>
        <v>Asus Laptop</v>
      </c>
      <c r="N19" s="29">
        <f t="shared" si="3"/>
        <v>46049</v>
      </c>
      <c r="O19" s="4"/>
    </row>
    <row r="20" spans="1:15" ht="15.75" customHeight="1">
      <c r="A20" s="14">
        <v>1</v>
      </c>
      <c r="B20" s="14" t="s">
        <v>72</v>
      </c>
      <c r="C20" s="14" t="s">
        <v>76</v>
      </c>
      <c r="D20" s="14" t="s">
        <v>42</v>
      </c>
      <c r="E20" s="11" t="str">
        <v>Sunglasses</v>
      </c>
      <c r="F20" s="14" t="s">
        <v>43</v>
      </c>
      <c r="G20" s="37">
        <v>150</v>
      </c>
      <c r="H20" s="14">
        <v>15</v>
      </c>
      <c r="I20" s="14" t="s">
        <v>11</v>
      </c>
      <c r="J20" s="4"/>
      <c r="K20" s="13">
        <f t="shared" si="0"/>
        <v>1</v>
      </c>
      <c r="L20" s="15" t="str">
        <f t="shared" si="1"/>
        <v>UK</v>
      </c>
      <c r="M20" s="18" t="str">
        <f t="shared" si="2"/>
        <v>Oakley Sunglasses</v>
      </c>
      <c r="N20" s="29">
        <f t="shared" si="3"/>
        <v>46082</v>
      </c>
      <c r="O20" s="4"/>
    </row>
    <row r="21" spans="1:15" ht="15.75" customHeight="1">
      <c r="A21" s="38">
        <v>14</v>
      </c>
      <c r="B21" s="38" t="s">
        <v>78</v>
      </c>
      <c r="C21" s="38" t="s">
        <v>70</v>
      </c>
      <c r="D21" s="38" t="s">
        <v>44</v>
      </c>
      <c r="E21" s="12" t="str">
        <v>Camping Tent</v>
      </c>
      <c r="F21" s="38" t="s">
        <v>45</v>
      </c>
      <c r="G21" s="24">
        <v>298.96982309999999</v>
      </c>
      <c r="H21" s="38">
        <v>10</v>
      </c>
      <c r="I21" s="38" t="s">
        <v>29</v>
      </c>
      <c r="J21" s="4"/>
      <c r="K21" s="13">
        <f t="shared" si="0"/>
        <v>14</v>
      </c>
      <c r="L21" s="15" t="str">
        <f t="shared" si="1"/>
        <v>US</v>
      </c>
      <c r="M21" s="18" t="str">
        <f t="shared" si="2"/>
        <v>Coleman Camping Tent</v>
      </c>
      <c r="N21" s="29">
        <f t="shared" si="3"/>
        <v>46248</v>
      </c>
      <c r="O21" s="4"/>
    </row>
    <row r="22" spans="1:15" ht="15.75" customHeight="1">
      <c r="A22" s="14">
        <v>14</v>
      </c>
      <c r="B22" s="14" t="s">
        <v>74</v>
      </c>
      <c r="C22" s="14" t="s">
        <v>90</v>
      </c>
      <c r="D22" s="14" t="s">
        <v>46</v>
      </c>
      <c r="E22" s="11" t="str">
        <v>Camera</v>
      </c>
      <c r="F22" s="14" t="s">
        <v>47</v>
      </c>
      <c r="G22" s="37">
        <v>700</v>
      </c>
      <c r="H22" s="14">
        <v>50</v>
      </c>
      <c r="I22" s="14" t="s">
        <v>8</v>
      </c>
      <c r="J22" s="4"/>
      <c r="K22" s="13">
        <f t="shared" si="0"/>
        <v>14</v>
      </c>
      <c r="L22" s="15" t="str">
        <f t="shared" si="1"/>
        <v>RU</v>
      </c>
      <c r="M22" s="18" t="str">
        <f t="shared" si="2"/>
        <v>Nikon Camera</v>
      </c>
      <c r="N22" s="29">
        <f t="shared" si="3"/>
        <v>46156</v>
      </c>
      <c r="O22" s="4"/>
    </row>
    <row r="23" spans="1:15" ht="15.75" customHeight="1">
      <c r="A23" s="38">
        <v>9</v>
      </c>
      <c r="B23" s="38" t="s">
        <v>69</v>
      </c>
      <c r="C23" s="38" t="s">
        <v>86</v>
      </c>
      <c r="D23" s="38" t="s">
        <v>48</v>
      </c>
      <c r="E23" s="12" t="str">
        <v>Microwave</v>
      </c>
      <c r="F23" s="38" t="s">
        <v>49</v>
      </c>
      <c r="G23" s="39">
        <v>80</v>
      </c>
      <c r="H23" s="38">
        <v>20</v>
      </c>
      <c r="I23" s="38" t="s">
        <v>14</v>
      </c>
      <c r="J23" s="4"/>
      <c r="K23" s="13">
        <f t="shared" si="0"/>
        <v>9</v>
      </c>
      <c r="L23" s="15" t="str">
        <f t="shared" si="1"/>
        <v>CA</v>
      </c>
      <c r="M23" s="18" t="str">
        <f t="shared" si="2"/>
        <v>Panasonic Microwave</v>
      </c>
      <c r="N23" s="29">
        <f t="shared" si="3"/>
        <v>46031</v>
      </c>
      <c r="O23" s="4"/>
    </row>
    <row r="24" spans="1:15" ht="15.75" customHeight="1">
      <c r="A24" s="14">
        <v>19</v>
      </c>
      <c r="B24" s="14" t="s">
        <v>77</v>
      </c>
      <c r="C24" s="14" t="s">
        <v>91</v>
      </c>
      <c r="D24" s="14" t="s">
        <v>50</v>
      </c>
      <c r="E24" s="11" t="str">
        <v>Fitness Tracker</v>
      </c>
      <c r="F24" s="14" t="s">
        <v>51</v>
      </c>
      <c r="G24" s="37">
        <v>150</v>
      </c>
      <c r="H24" s="14">
        <v>30</v>
      </c>
      <c r="I24" s="41" t="s">
        <v>8</v>
      </c>
      <c r="J24" s="8"/>
      <c r="K24" s="13">
        <f t="shared" si="0"/>
        <v>19</v>
      </c>
      <c r="L24" s="15" t="str">
        <f t="shared" si="1"/>
        <v>BR</v>
      </c>
      <c r="M24" s="18" t="str">
        <f t="shared" si="2"/>
        <v>Xiaomi Fitness Tracker</v>
      </c>
      <c r="N24" s="29">
        <f t="shared" si="3"/>
        <v>46222</v>
      </c>
      <c r="O24" s="4"/>
    </row>
    <row r="25" spans="1:15" ht="15.75" customHeight="1">
      <c r="A25" s="14">
        <v>29</v>
      </c>
      <c r="B25" s="14" t="s">
        <v>79</v>
      </c>
      <c r="C25" s="14" t="s">
        <v>86</v>
      </c>
      <c r="D25" s="14" t="s">
        <v>52</v>
      </c>
      <c r="E25" s="11" t="str">
        <v>Smartphone</v>
      </c>
      <c r="F25" s="14" t="s">
        <v>53</v>
      </c>
      <c r="G25" s="37">
        <v>800</v>
      </c>
      <c r="H25" s="14">
        <v>45</v>
      </c>
      <c r="I25" s="14" t="s">
        <v>8</v>
      </c>
      <c r="J25" s="4"/>
      <c r="K25" s="13">
        <f t="shared" si="0"/>
        <v>29</v>
      </c>
      <c r="L25" s="15" t="str">
        <f t="shared" si="1"/>
        <v>CA</v>
      </c>
      <c r="M25" s="18" t="str">
        <f t="shared" si="2"/>
        <v>Google Smartphone</v>
      </c>
      <c r="N25" s="29">
        <f t="shared" si="3"/>
        <v>46294</v>
      </c>
      <c r="O25" s="4"/>
    </row>
    <row r="26" spans="1:15" ht="15.75" customHeight="1">
      <c r="A26" s="38">
        <v>3</v>
      </c>
      <c r="B26" s="38" t="s">
        <v>75</v>
      </c>
      <c r="C26" s="38" t="s">
        <v>86</v>
      </c>
      <c r="D26" s="38" t="s">
        <v>42</v>
      </c>
      <c r="E26" s="12" t="str">
        <v>Sunglasses</v>
      </c>
      <c r="F26" s="38" t="s">
        <v>54</v>
      </c>
      <c r="G26" s="24">
        <v>298.96982309999999</v>
      </c>
      <c r="H26" s="38">
        <v>25</v>
      </c>
      <c r="I26" s="38" t="s">
        <v>11</v>
      </c>
      <c r="J26" s="4"/>
      <c r="K26" s="13">
        <f t="shared" si="0"/>
        <v>3</v>
      </c>
      <c r="L26" s="15" t="str">
        <f t="shared" si="1"/>
        <v>CA</v>
      </c>
      <c r="M26" s="18" t="str">
        <f t="shared" si="2"/>
        <v>Ray-Ban Sunglasses</v>
      </c>
      <c r="N26" s="29">
        <f t="shared" si="3"/>
        <v>46176</v>
      </c>
      <c r="O26" s="4"/>
    </row>
    <row r="27" spans="1:15" ht="15.75" customHeight="1">
      <c r="A27" s="14">
        <v>11</v>
      </c>
      <c r="B27" s="14" t="s">
        <v>77</v>
      </c>
      <c r="C27" s="14" t="s">
        <v>86</v>
      </c>
      <c r="D27" s="14" t="s">
        <v>23</v>
      </c>
      <c r="E27" s="11" t="str">
        <v>Blender</v>
      </c>
      <c r="F27" s="14" t="s">
        <v>55</v>
      </c>
      <c r="G27" s="37">
        <v>400</v>
      </c>
      <c r="H27" s="14">
        <v>40</v>
      </c>
      <c r="I27" s="14" t="s">
        <v>14</v>
      </c>
      <c r="J27" s="4"/>
      <c r="K27" s="13">
        <f t="shared" si="0"/>
        <v>11</v>
      </c>
      <c r="L27" s="15" t="str">
        <f t="shared" si="1"/>
        <v>CA</v>
      </c>
      <c r="M27" s="18" t="str">
        <f t="shared" si="2"/>
        <v>Vitamix Blender</v>
      </c>
      <c r="N27" s="29">
        <f t="shared" si="3"/>
        <v>46214</v>
      </c>
      <c r="O27" s="4"/>
    </row>
    <row r="28" spans="1:15" ht="15.75" customHeight="1">
      <c r="A28" s="14">
        <v>7</v>
      </c>
      <c r="B28" s="14" t="s">
        <v>72</v>
      </c>
      <c r="C28" s="14" t="s">
        <v>86</v>
      </c>
      <c r="D28" s="14" t="s">
        <v>56</v>
      </c>
      <c r="E28" s="11" t="str">
        <v>Dress</v>
      </c>
      <c r="F28" s="14" t="s">
        <v>57</v>
      </c>
      <c r="G28" s="37">
        <v>60</v>
      </c>
      <c r="H28" s="14">
        <v>30</v>
      </c>
      <c r="I28" s="14" t="s">
        <v>11</v>
      </c>
      <c r="J28" s="4"/>
      <c r="K28" s="13">
        <f t="shared" si="0"/>
        <v>7</v>
      </c>
      <c r="L28" s="15" t="str">
        <f t="shared" si="1"/>
        <v>CA</v>
      </c>
      <c r="M28" s="18" t="str">
        <f t="shared" si="2"/>
        <v>Zara Dress</v>
      </c>
      <c r="N28" s="29">
        <f t="shared" si="3"/>
        <v>46088</v>
      </c>
      <c r="O28" s="4"/>
    </row>
    <row r="29" spans="1:15" ht="15.75" customHeight="1">
      <c r="A29" s="38">
        <v>13</v>
      </c>
      <c r="B29" s="38" t="s">
        <v>73</v>
      </c>
      <c r="C29" s="38" t="s">
        <v>86</v>
      </c>
      <c r="D29" s="38" t="s">
        <v>58</v>
      </c>
      <c r="E29" s="12" t="str">
        <v>Toaster</v>
      </c>
      <c r="F29" s="38" t="s">
        <v>59</v>
      </c>
      <c r="G29" s="39">
        <v>40</v>
      </c>
      <c r="H29" s="38">
        <v>10</v>
      </c>
      <c r="I29" s="38" t="s">
        <v>14</v>
      </c>
      <c r="J29" s="4"/>
      <c r="K29" s="13">
        <f t="shared" si="0"/>
        <v>13</v>
      </c>
      <c r="L29" s="15" t="str">
        <f t="shared" si="1"/>
        <v>CA</v>
      </c>
      <c r="M29" s="18" t="str">
        <f t="shared" si="2"/>
        <v>Hamilton Toaster</v>
      </c>
      <c r="N29" s="29">
        <f t="shared" si="3"/>
        <v>46125</v>
      </c>
      <c r="O29" s="4"/>
    </row>
    <row r="30" spans="1:15" ht="15.75" customHeight="1">
      <c r="A30" s="14">
        <v>24</v>
      </c>
      <c r="B30" s="14" t="s">
        <v>74</v>
      </c>
      <c r="C30" s="14" t="s">
        <v>86</v>
      </c>
      <c r="D30" s="14" t="s">
        <v>50</v>
      </c>
      <c r="E30" s="11" t="str">
        <v>Fitness Tracker</v>
      </c>
      <c r="F30" s="14" t="s">
        <v>60</v>
      </c>
      <c r="G30" s="37">
        <v>130</v>
      </c>
      <c r="H30" s="14">
        <v>5</v>
      </c>
      <c r="I30" s="14" t="s">
        <v>8</v>
      </c>
      <c r="J30" s="4"/>
      <c r="K30" s="13">
        <f t="shared" si="0"/>
        <v>24</v>
      </c>
      <c r="L30" s="15" t="str">
        <f t="shared" si="1"/>
        <v>CA</v>
      </c>
      <c r="M30" s="18" t="str">
        <f t="shared" si="2"/>
        <v>Garmin Fitness Tracker</v>
      </c>
      <c r="N30" s="29">
        <f t="shared" si="3"/>
        <v>46166</v>
      </c>
      <c r="O30" s="4"/>
    </row>
    <row r="31" spans="1:15" ht="15.75" customHeight="1">
      <c r="A31" s="38">
        <v>2</v>
      </c>
      <c r="B31" s="38" t="s">
        <v>84</v>
      </c>
      <c r="C31" s="38" t="s">
        <v>86</v>
      </c>
      <c r="D31" s="38" t="s">
        <v>61</v>
      </c>
      <c r="E31" s="12" t="str">
        <v>Jeans</v>
      </c>
      <c r="F31" s="38" t="s">
        <v>62</v>
      </c>
      <c r="G31" s="39">
        <v>50</v>
      </c>
      <c r="H31" s="38">
        <v>50</v>
      </c>
      <c r="I31" s="38" t="s">
        <v>11</v>
      </c>
      <c r="J31" s="4"/>
      <c r="K31" s="13">
        <f t="shared" si="0"/>
        <v>2</v>
      </c>
      <c r="L31" s="15" t="str">
        <f t="shared" si="1"/>
        <v>CA</v>
      </c>
      <c r="M31" s="18" t="str">
        <f t="shared" si="2"/>
        <v>Levi's Jeans</v>
      </c>
      <c r="N31" s="29">
        <f t="shared" si="3"/>
        <v>46358</v>
      </c>
      <c r="O31" s="4"/>
    </row>
    <row r="32" spans="1:15" ht="15.75" customHeight="1">
      <c r="A32" s="38">
        <v>9</v>
      </c>
      <c r="B32" s="38" t="s">
        <v>77</v>
      </c>
      <c r="C32" s="38" t="s">
        <v>92</v>
      </c>
      <c r="D32" s="38" t="s">
        <v>63</v>
      </c>
      <c r="E32" s="12" t="str">
        <v>Watch</v>
      </c>
      <c r="F32" s="38" t="s">
        <v>64</v>
      </c>
      <c r="G32" s="39">
        <v>100</v>
      </c>
      <c r="H32" s="38">
        <v>20</v>
      </c>
      <c r="I32" s="38" t="s">
        <v>39</v>
      </c>
      <c r="J32" s="4"/>
      <c r="K32" s="13">
        <f t="shared" si="0"/>
        <v>9</v>
      </c>
      <c r="L32" s="15" t="str">
        <f t="shared" si="1"/>
        <v>FR</v>
      </c>
      <c r="M32" s="19" t="str">
        <f t="shared" si="2"/>
        <v>Casio Watch</v>
      </c>
      <c r="N32" s="29">
        <f t="shared" si="3"/>
        <v>46212</v>
      </c>
      <c r="O32" s="4"/>
    </row>
    <row r="33" spans="5:15" ht="15.75" customHeight="1">
      <c r="E33" s="33" t="str">
        <v/>
      </c>
      <c r="K33" s="2"/>
      <c r="L33" s="2"/>
      <c r="M33" s="21" t="str">
        <f t="shared" si="2"/>
        <v xml:space="preserve"> </v>
      </c>
      <c r="N33" s="30"/>
      <c r="O33" s="4"/>
    </row>
    <row r="34" spans="5:15" ht="15.75" customHeight="1">
      <c r="E34" s="33" t="str">
        <v/>
      </c>
      <c r="K34" s="2"/>
      <c r="L34" s="2"/>
      <c r="M34" s="21" t="str">
        <f t="shared" si="2"/>
        <v xml:space="preserve"> </v>
      </c>
      <c r="N34" s="30"/>
      <c r="O34" s="4"/>
    </row>
    <row r="35" spans="5:15" ht="15.75" customHeight="1">
      <c r="E35" s="33" t="str">
        <v/>
      </c>
      <c r="K35" s="2"/>
      <c r="L35" s="2"/>
      <c r="M35" s="21" t="str">
        <f t="shared" si="2"/>
        <v xml:space="preserve"> </v>
      </c>
      <c r="N35" s="30"/>
      <c r="O35" s="4"/>
    </row>
    <row r="36" spans="5:15" ht="15.75" customHeight="1"/>
    <row r="37" spans="5:15" ht="15.75" customHeight="1"/>
    <row r="38" spans="5:15" ht="15.75" customHeight="1"/>
    <row r="39" spans="5:15" ht="15.75" customHeight="1"/>
    <row r="40" spans="5:15" ht="15.75" customHeight="1"/>
    <row r="41" spans="5:15" ht="15.75" customHeight="1"/>
    <row r="42" spans="5:15" ht="15.75" customHeight="1"/>
    <row r="43" spans="5:15" ht="15.75" customHeight="1"/>
    <row r="44" spans="5:15" ht="15.75" customHeight="1"/>
    <row r="45" spans="5:15" ht="15.75" customHeight="1"/>
    <row r="46" spans="5:15" ht="15.75" customHeight="1"/>
    <row r="47" spans="5:15" ht="15.75" customHeight="1"/>
    <row r="48" spans="5: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Consolidate/>
  <phoneticPr fontId="7" type="noConversion"/>
  <conditionalFormatting sqref="G1:G1048576">
    <cfRule type="dataBar" priority="4">
      <dataBar>
        <cfvo type="min"/>
        <cfvo type="max"/>
        <color rgb="FF63C384"/>
      </dataBar>
      <extLst>
        <ext xmlns:x14="http://schemas.microsoft.com/office/spreadsheetml/2009/9/main" uri="{B025F937-C7B1-47D3-B67F-A62EFF666E3E}">
          <x14:id>{8E919456-87DD-49F8-BD6B-900E05227E37}</x14:id>
        </ext>
      </extLst>
    </cfRule>
  </conditionalFormatting>
  <conditionalFormatting sqref="I1:I1048576">
    <cfRule type="containsText" dxfId="1" priority="3" operator="containsText" text="Electronics">
      <formula>NOT(ISERROR(SEARCH("Electronics",I1)))</formula>
    </cfRule>
  </conditionalFormatting>
  <conditionalFormatting sqref="G5">
    <cfRule type="dataBar" priority="1">
      <dataBar>
        <cfvo type="min"/>
        <cfvo type="max"/>
        <color rgb="FF63C384"/>
      </dataBar>
      <extLst>
        <ext xmlns:x14="http://schemas.microsoft.com/office/spreadsheetml/2009/9/main" uri="{B025F937-C7B1-47D3-B67F-A62EFF666E3E}">
          <x14:id>{6B167F0F-8484-495F-B37B-8A0B0761A004}</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8E919456-87DD-49F8-BD6B-900E05227E37}">
            <x14:dataBar minLength="0" maxLength="100" border="1" negativeBarBorderColorSameAsPositive="0">
              <x14:cfvo type="autoMin"/>
              <x14:cfvo type="autoMax"/>
              <x14:borderColor rgb="FF63C384"/>
              <x14:negativeFillColor rgb="FFFF0000"/>
              <x14:negativeBorderColor rgb="FFFF0000"/>
              <x14:axisColor rgb="FF000000"/>
            </x14:dataBar>
          </x14:cfRule>
          <xm:sqref>G1:G1048576</xm:sqref>
        </x14:conditionalFormatting>
        <x14:conditionalFormatting xmlns:xm="http://schemas.microsoft.com/office/excel/2006/main">
          <x14:cfRule type="dataBar" id="{6B167F0F-8484-495F-B37B-8A0B0761A004}">
            <x14:dataBar minLength="0" maxLength="100" border="1" negativeBarBorderColorSameAsPositive="0">
              <x14:cfvo type="autoMin"/>
              <x14:cfvo type="autoMax"/>
              <x14:borderColor rgb="FF63C384"/>
              <x14:negativeFillColor rgb="FFFF0000"/>
              <x14:negativeBorderColor rgb="FFFF0000"/>
              <x14:axisColor rgb="FF000000"/>
            </x14:dataBar>
          </x14:cfRule>
          <xm:sqref>G5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Indhu B</dc:creator>
  <cp:lastModifiedBy>Indhu B</cp:lastModifiedBy>
  <dcterms:created xsi:type="dcterms:W3CDTF">2026-07-23T14:43:37Z</dcterms:created>
  <dcterms:modified xsi:type="dcterms:W3CDTF">2026-07-30T16:45:57Z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8359FE2C7BAF4D28ADCFE4336C4EBA81_12</vt:lpwstr>
  </property>
  <property fmtid="{D5CDD505-2E9C-101B-9397-08002B2CF9AE}" pid="3" name="KSOProductBuildVer">
    <vt:lpwstr>2057-12.2.0.23206</vt:lpwstr>
  </property>
</Properties>
</file>